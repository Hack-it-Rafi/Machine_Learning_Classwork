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8th Semester\Machine Learning\Class Work\"/>
    </mc:Choice>
  </mc:AlternateContent>
  <xr:revisionPtr revIDLastSave="0" documentId="13_ncr:1_{6F583C72-37C2-4CC9-BCF8-D5D3B2AC7C14}" xr6:coauthVersionLast="47" xr6:coauthVersionMax="47" xr10:uidLastSave="{00000000-0000-0000-0000-000000000000}"/>
  <bookViews>
    <workbookView xWindow="-108" yWindow="-108" windowWidth="23256" windowHeight="12456" xr2:uid="{2759F7BB-F9B1-4FE9-A9D7-2B9927991F1F}"/>
  </bookViews>
  <sheets>
    <sheet name="Sheet3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" i="3" l="1" a="1"/>
  <c r="P16" i="3" s="1"/>
  <c r="M16" i="3" a="1"/>
  <c r="M16" i="3" s="1"/>
  <c r="D15" i="3" a="1"/>
  <c r="D15" i="3" s="1"/>
  <c r="N11" i="3" s="1" a="1"/>
  <c r="N11" i="3" s="1"/>
  <c r="Q11" i="3" s="1" a="1"/>
  <c r="Q11" i="3" s="1"/>
  <c r="I9" i="3"/>
  <c r="I8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<sst xmlns="http://schemas.openxmlformats.org/spreadsheetml/2006/main" count="14" uniqueCount="14">
  <si>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Slope(m)</t>
  </si>
  <si>
    <t>Coorelation</t>
  </si>
  <si>
    <t>Intercept (c)</t>
  </si>
  <si>
    <t>X(Expenditure)</t>
  </si>
  <si>
    <t>Y(Revenue)</t>
  </si>
  <si>
    <t>A</t>
  </si>
  <si>
    <t>A (Transpose)</t>
  </si>
  <si>
    <t>m</t>
  </si>
  <si>
    <t>c</t>
  </si>
  <si>
    <t>B</t>
  </si>
  <si>
    <t>A^T * A</t>
  </si>
  <si>
    <t>(A^T * A)^-1</t>
  </si>
  <si>
    <t>A^T * B</t>
  </si>
  <si>
    <t>Formula: ((A^T * A)^-1 * A^T * 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</si>
</sst>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5" borderId="0" xfId="0" applyFill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4" borderId="1" xfId="0" applyFill="1" applyBorder="1" applyAlignment="1"/>
    <xf numFmtId="0" fontId="0" fillId="2" borderId="2" xfId="0" applyFill="1" applyBorder="1" applyAlignment="1"/>
    <xf numFmtId="0" fontId="0" fillId="7" borderId="1" xfId="0" applyFill="1" applyBorder="1"/>
    <xf numFmtId="0" fontId="0" fillId="8" borderId="0" xfId="0" applyFill="1" applyAlignme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CEE4D-1446-46BB-8ADB-11B2F0AFBC44}">
  <dimension ref="D6:R20"/>
  <sheetViews>
    <sheetView tabSelected="1" topLeftCell="C4" zoomScale="115" zoomScaleNormal="115" workbookViewId="0">
      <selection activeCell="Q23" sqref="Q23"/>
    </sheetView>
  </sheetViews>
  <sheetFormatPr defaultRowHeight="14.4" x14ac:dyDescent="0.3"/>
  <cols>
    <col min="5" max="5" width="13.109375" customWidth="1"/>
    <col min="6" max="6" width="11" customWidth="1"/>
    <col min="8" max="8" width="10.6640625" customWidth="1"/>
  </cols>
  <sheetData>
    <row r="6" spans="4:18" x14ac:dyDescent="0.3">
      <c r="E6" s="3" t="s">
        <v>3</v>
      </c>
      <c r="F6" s="3" t="s">
        <v>4</v>
      </c>
      <c r="K6" s="12" t="s">
        <v>5</v>
      </c>
      <c r="L6" s="12"/>
    </row>
    <row r="7" spans="4:18" x14ac:dyDescent="0.3">
      <c r="E7" s="4">
        <v>4</v>
      </c>
      <c r="F7" s="4">
        <v>16</v>
      </c>
      <c r="H7" s="5" t="s">
        <v>0</v>
      </c>
      <c r="I7" s="6">
        <f>SLOPE(F7:F12, E7:E12)</f>
        <v>1.5</v>
      </c>
      <c r="K7" s="7">
        <v>4</v>
      </c>
      <c r="L7" s="7">
        <v>1</v>
      </c>
    </row>
    <row r="8" spans="4:18" x14ac:dyDescent="0.3">
      <c r="E8" s="4">
        <v>3</v>
      </c>
      <c r="F8" s="4">
        <v>12</v>
      </c>
      <c r="H8" s="5" t="s">
        <v>2</v>
      </c>
      <c r="I8" s="6">
        <f>INTERCEPT(F7:F12, E7:E12)</f>
        <v>10.5</v>
      </c>
      <c r="K8" s="7">
        <v>3</v>
      </c>
      <c r="L8" s="7">
        <v>1</v>
      </c>
    </row>
    <row r="9" spans="4:18" x14ac:dyDescent="0.3">
      <c r="E9" s="4">
        <v>7</v>
      </c>
      <c r="F9" s="4">
        <v>20</v>
      </c>
      <c r="H9" s="5" t="s">
        <v>1</v>
      </c>
      <c r="I9" s="6">
        <f>CORREL(E7:E12, F7:F12)</f>
        <v>0.81866523436472283</v>
      </c>
      <c r="K9" s="7">
        <v>7</v>
      </c>
      <c r="L9" s="7">
        <v>1</v>
      </c>
    </row>
    <row r="10" spans="4:18" x14ac:dyDescent="0.3">
      <c r="E10" s="4">
        <v>2</v>
      </c>
      <c r="F10" s="4">
        <v>17</v>
      </c>
      <c r="K10" s="7">
        <v>2</v>
      </c>
      <c r="L10" s="7">
        <v>1</v>
      </c>
      <c r="N10" s="12" t="s">
        <v>10</v>
      </c>
      <c r="O10" s="12"/>
      <c r="Q10" s="12" t="s">
        <v>11</v>
      </c>
      <c r="R10" s="12"/>
    </row>
    <row r="11" spans="4:18" x14ac:dyDescent="0.3">
      <c r="E11" s="4">
        <v>6</v>
      </c>
      <c r="F11" s="4">
        <v>18</v>
      </c>
      <c r="K11" s="7">
        <v>6</v>
      </c>
      <c r="L11" s="7">
        <v>1</v>
      </c>
      <c r="N11" s="6" cm="1">
        <f t="array" ref="N11:O12">MMULT(_xlfn.ANCHORARRAY(D15), K7:L12)</f>
        <v>178</v>
      </c>
      <c r="O11" s="6">
        <v>30</v>
      </c>
      <c r="Q11" s="6" cm="1">
        <f t="array" ref="Q11:R12">MINVERSE(_xlfn.ANCHORARRAY(N11))</f>
        <v>3.5714285714285698E-2</v>
      </c>
      <c r="R11" s="6">
        <v>-0.17857142857142846</v>
      </c>
    </row>
    <row r="12" spans="4:18" x14ac:dyDescent="0.3">
      <c r="E12" s="4">
        <v>8</v>
      </c>
      <c r="F12" s="4">
        <v>25</v>
      </c>
      <c r="K12" s="7">
        <v>8</v>
      </c>
      <c r="L12" s="7">
        <v>1</v>
      </c>
      <c r="N12" s="6">
        <v>30</v>
      </c>
      <c r="O12" s="6">
        <v>6</v>
      </c>
      <c r="Q12" s="6">
        <v>-0.17857142857142846</v>
      </c>
      <c r="R12" s="6">
        <v>1.0595238095238089</v>
      </c>
    </row>
    <row r="14" spans="4:18" x14ac:dyDescent="0.3">
      <c r="D14" s="12" t="s">
        <v>6</v>
      </c>
      <c r="E14" s="12"/>
      <c r="F14" s="12"/>
      <c r="G14" s="12"/>
      <c r="H14" s="12"/>
      <c r="I14" s="12"/>
      <c r="K14" s="9" t="s">
        <v>9</v>
      </c>
      <c r="L14" s="8"/>
    </row>
    <row r="15" spans="4:18" x14ac:dyDescent="0.3">
      <c r="D15" s="7" cm="1">
        <f t="array" ref="D15:I16">TRANSPOSE(K7:L12)</f>
        <v>4</v>
      </c>
      <c r="E15" s="7">
        <v>3</v>
      </c>
      <c r="F15" s="7">
        <v>7</v>
      </c>
      <c r="G15" s="7">
        <v>2</v>
      </c>
      <c r="H15" s="7">
        <v>6</v>
      </c>
      <c r="I15" s="7">
        <v>8</v>
      </c>
      <c r="K15" s="6">
        <v>16</v>
      </c>
      <c r="M15" s="1" t="s">
        <v>12</v>
      </c>
      <c r="O15" s="11" t="s">
        <v>13</v>
      </c>
      <c r="P15" s="11"/>
      <c r="Q15" s="11"/>
      <c r="R15" s="11"/>
    </row>
    <row r="16" spans="4:18" x14ac:dyDescent="0.3">
      <c r="D16" s="7">
        <v>1</v>
      </c>
      <c r="E16" s="7">
        <v>1</v>
      </c>
      <c r="F16" s="7">
        <v>1</v>
      </c>
      <c r="G16" s="7">
        <v>1</v>
      </c>
      <c r="H16" s="7">
        <v>1</v>
      </c>
      <c r="I16" s="7">
        <v>1</v>
      </c>
      <c r="K16" s="6">
        <v>12</v>
      </c>
      <c r="M16" s="2" cm="1">
        <f t="array" ref="M16:M17">MMULT(_xlfn.ANCHORARRAY(D15), K15:K20)</f>
        <v>582</v>
      </c>
      <c r="O16" s="10" t="s">
        <v>7</v>
      </c>
      <c r="P16" s="6" cm="1">
        <f t="array" ref="P16:P17">MMULT(_xlfn.ANCHORARRAY(Q11),_xlfn.ANCHORARRAY( M16))</f>
        <v>1.5000000000000036</v>
      </c>
    </row>
    <row r="17" spans="11:16" x14ac:dyDescent="0.3">
      <c r="K17" s="6">
        <v>20</v>
      </c>
      <c r="M17" s="2">
        <v>108</v>
      </c>
      <c r="O17" s="10" t="s">
        <v>8</v>
      </c>
      <c r="P17" s="6">
        <v>10.5</v>
      </c>
    </row>
    <row r="18" spans="11:16" x14ac:dyDescent="0.3">
      <c r="K18" s="6">
        <v>17</v>
      </c>
    </row>
    <row r="19" spans="11:16" x14ac:dyDescent="0.3">
      <c r="K19" s="6">
        <v>18</v>
      </c>
    </row>
    <row r="20" spans="11:16" x14ac:dyDescent="0.3">
      <c r="K20" s="6">
        <v>25</v>
      </c>
    </row>
  </sheetData>
  <mergeCells count="4">
    <mergeCell ref="K6:L6"/>
    <mergeCell ref="D14:I14"/>
    <mergeCell ref="N10:O10"/>
    <mergeCell ref="Q10:R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2025-10-21T04:15:31Z</dcterms:created>
  <dcterms:modified xsi:type="dcterms:W3CDTF">2025-10-21T06:21:32Z</dcterms:modified>
</cp:coreProperties>
</file>